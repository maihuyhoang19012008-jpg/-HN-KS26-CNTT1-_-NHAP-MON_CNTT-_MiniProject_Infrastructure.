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2"/>
    <sheet name="trang-thai-tram" sheetId="2" state="visible" r:id="rId3"/>
  </sheets>
  <definedNames>
    <definedName function="false" hidden="true" localSheetId="0" name="_xlnm._FilterDatabase" vbProcedure="false">'danh-muc-linh-kien'!$A$1:$D$11</definedName>
    <definedName function="false" hidden="true" localSheetId="1" name="_xlnm._FilterDatabase" vbProcedure="false">'trang-thai-tram'!$A$1:$G$13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<sst xmlns="http://schemas.openxmlformats.org/spreadsheetml/2006/main" count="65" uniqueCount="47">
  <si>
    <t xml:space="preserve">ma_linh_kien</t>
  </si>
  <si>
    <t xml:space="preserve">ten_thiet_bi</t>
  </si>
  <si>
    <t xml:space="preserve">don_gia</t>
  </si>
  <si>
    <t xml:space="preserve">loai_storage</t>
  </si>
  <si>
    <t xml:space="preserve">LK-CPU-01</t>
  </si>
  <si>
    <t xml:space="preserve">CPU Intel Core i5-12400</t>
  </si>
  <si>
    <t xml:space="preserve">SSD</t>
  </si>
  <si>
    <t xml:space="preserve">LK-RAM-02</t>
  </si>
  <si>
    <t xml:space="preserve">RAM DDR4 16GB Bus 3200</t>
  </si>
  <si>
    <t xml:space="preserve">LK-SSD-03</t>
  </si>
  <si>
    <t xml:space="preserve">SSD Samsung 500GB NVMe</t>
  </si>
  <si>
    <t xml:space="preserve">LK-HDD-04</t>
  </si>
  <si>
    <t xml:space="preserve">HDD Seagate 2TB Barracuda</t>
  </si>
  <si>
    <t xml:space="preserve">HDD</t>
  </si>
  <si>
    <t xml:space="preserve">LK-SSD-05</t>
  </si>
  <si>
    <t xml:space="preserve">SSD Kingston 240GB SATA</t>
  </si>
  <si>
    <t xml:space="preserve">LK-RAM-06</t>
  </si>
  <si>
    <t xml:space="preserve">RAM DDR4 8GB Bus 2666</t>
  </si>
  <si>
    <t xml:space="preserve">LK-CPU-07</t>
  </si>
  <si>
    <t xml:space="preserve">CPU Raspberry Pi Pico W</t>
  </si>
  <si>
    <t xml:space="preserve">LK-SSD-08</t>
  </si>
  <si>
    <t xml:space="preserve">SSD Western Digital 1TB</t>
  </si>
  <si>
    <t xml:space="preserve">LK-HDD-09</t>
  </si>
  <si>
    <t xml:space="preserve">HDD Toshiba 4TB Enterprise</t>
  </si>
  <si>
    <t xml:space="preserve">LK-RAM-10</t>
  </si>
  <si>
    <t xml:space="preserve">RAM DDR5 32GB Bus 4800</t>
  </si>
  <si>
    <t xml:space="preserve">ma_tram</t>
  </si>
  <si>
    <t xml:space="preserve">dung_luong_ram</t>
  </si>
  <si>
    <t xml:space="preserve">ngay_lap_dat</t>
  </si>
  <si>
    <t xml:space="preserve">ten_thiet_bi (VLOOKUP)</t>
  </si>
  <si>
    <t xml:space="preserve">don_gia (VLOOKUP)</t>
  </si>
  <si>
    <t xml:space="preserve">loai_storage (VLOOKUP)</t>
  </si>
  <si>
    <t xml:space="preserve">TRAM-001</t>
  </si>
  <si>
    <t xml:space="preserve">TRAM-002</t>
  </si>
  <si>
    <t xml:space="preserve">TRAM-003</t>
  </si>
  <si>
    <t xml:space="preserve">  LK-SSD-03</t>
  </si>
  <si>
    <t xml:space="preserve">TRAM-004</t>
  </si>
  <si>
    <t xml:space="preserve">LK-HDD-04  </t>
  </si>
  <si>
    <t xml:space="preserve">TRAM-005</t>
  </si>
  <si>
    <t xml:space="preserve">TRAM-006</t>
  </si>
  <si>
    <t xml:space="preserve">TRAM-007</t>
  </si>
  <si>
    <t xml:space="preserve">TRAM-008</t>
  </si>
  <si>
    <t xml:space="preserve"> LK-SSD-08 </t>
  </si>
  <si>
    <t xml:space="preserve">TRAM-009</t>
  </si>
  <si>
    <t xml:space="preserve">TRAM-010</t>
  </si>
  <si>
    <t xml:space="preserve">TRAM-011</t>
  </si>
  <si>
    <t xml:space="preserve">TRAM-012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</si>
</sst>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VND&quot;"/>
    <numFmt numFmtId="166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D3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4500000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1800000</v>
      </c>
      <c r="D3" s="2" t="s">
        <v>6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2200000</v>
      </c>
      <c r="D4" s="2" t="s">
        <v>6</v>
      </c>
    </row>
    <row r="5" customFormat="false" ht="15" hidden="false" customHeight="false" outlineLevel="0" collapsed="false">
      <c r="A5" s="2" t="s">
        <v>11</v>
      </c>
      <c r="B5" s="2" t="s">
        <v>12</v>
      </c>
      <c r="C5" s="3" t="n">
        <v>1500000</v>
      </c>
      <c r="D5" s="2" t="s">
        <v>13</v>
      </c>
    </row>
    <row r="6" customFormat="false" ht="15" hidden="false" customHeight="false" outlineLevel="0" collapsed="false">
      <c r="A6" s="2" t="s">
        <v>14</v>
      </c>
      <c r="B6" s="2" t="s">
        <v>15</v>
      </c>
      <c r="C6" s="3" t="n">
        <v>900000</v>
      </c>
      <c r="D6" s="2" t="s">
        <v>6</v>
      </c>
    </row>
    <row r="7" customFormat="false" ht="15" hidden="false" customHeight="false" outlineLevel="0" collapsed="false">
      <c r="A7" s="2" t="s">
        <v>16</v>
      </c>
      <c r="B7" s="2" t="s">
        <v>17</v>
      </c>
      <c r="C7" s="3" t="n">
        <v>950000</v>
      </c>
      <c r="D7" s="2" t="s">
        <v>6</v>
      </c>
    </row>
    <row r="8" customFormat="false" ht="15" hidden="false" customHeight="false" outlineLevel="0" collapsed="false">
      <c r="A8" s="2" t="s">
        <v>18</v>
      </c>
      <c r="B8" s="2" t="s">
        <v>19</v>
      </c>
      <c r="C8" s="3" t="n">
        <v>150000</v>
      </c>
      <c r="D8" s="2" t="s">
        <v>6</v>
      </c>
    </row>
    <row r="9" customFormat="false" ht="15" hidden="false" customHeight="false" outlineLevel="0" collapsed="false">
      <c r="A9" s="2" t="s">
        <v>20</v>
      </c>
      <c r="B9" s="2" t="s">
        <v>21</v>
      </c>
      <c r="C9" s="3" t="n">
        <v>3100000</v>
      </c>
      <c r="D9" s="2" t="s">
        <v>6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3" t="n">
        <v>5200000</v>
      </c>
      <c r="D10" s="2" t="s">
        <v>13</v>
      </c>
    </row>
    <row r="11" customFormat="false" ht="15" hidden="false" customHeight="false" outlineLevel="0" collapsed="false">
      <c r="A11" s="2" t="s">
        <v>24</v>
      </c>
      <c r="B11" s="2" t="s">
        <v>25</v>
      </c>
      <c r="C11" s="3" t="n">
        <v>3500000</v>
      </c>
      <c r="D11" s="2" t="s">
        <v>6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3" min="2" style="0" width="16"/>
    <col collapsed="false" customWidth="true" hidden="false" outlineLevel="0" max="4" min="4" style="0" width="14.01"/>
    <col collapsed="false" customWidth="true" hidden="false" outlineLevel="0" max="5" min="5" style="0" width="30.0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customFormat="false" ht="15" hidden="false" customHeight="false" outlineLevel="0" collapsed="false">
      <c r="A2" s="2" t="s">
        <v>32</v>
      </c>
      <c r="B2" s="2" t="s">
        <v>4</v>
      </c>
      <c r="C2" s="2" t="n">
        <v>16</v>
      </c>
      <c r="D2" s="4" t="n">
        <v>45672</v>
      </c>
      <c r="E2" s="2" t="str">
        <f aca="false">IFERROR(VLOOKUP(TRIM(B2),'danh-muc-linh-kien'!$A$2:$D$11,2,FALSE()),"Khong tim thay")</f>
        <v>CPU Intel Core i5-12400</v>
      </c>
      <c r="F2" s="3" t="n">
        <f aca="false">IFERROR(VLOOKUP(TRIM(B2),'danh-muc-linh-kien'!$A$2:$D$11,3,FALSE()),0)</f>
        <v>4500000</v>
      </c>
      <c r="G2" s="2" t="str">
        <f aca="false">IFERROR(VLOOKUP(TRIM(B2),'danh-muc-linh-kien'!$A$2:$D$11,4,FALSE()),"Khong tim thay")</f>
        <v>SSD</v>
      </c>
    </row>
    <row r="3" customFormat="false" ht="15" hidden="false" customHeight="false" outlineLevel="0" collapsed="false">
      <c r="A3" s="2" t="s">
        <v>33</v>
      </c>
      <c r="B3" s="2" t="s">
        <v>7</v>
      </c>
      <c r="C3" s="2" t="n">
        <v>16</v>
      </c>
      <c r="D3" s="4" t="n">
        <v>45672</v>
      </c>
      <c r="E3" s="2" t="str">
        <f aca="false">IFERROR(VLOOKUP(TRIM(B3),'danh-muc-linh-kien'!$A$2:$D$11,2,FALSE()),"Khong tim thay")</f>
        <v>RAM DDR4 16GB Bus 3200</v>
      </c>
      <c r="F3" s="3" t="n">
        <f aca="false">IFERROR(VLOOKUP(TRIM(B3),'danh-muc-linh-kien'!$A$2:$D$11,3,FALSE()),0)</f>
        <v>1800000</v>
      </c>
      <c r="G3" s="2" t="str">
        <f aca="false">IFERROR(VLOOKUP(TRIM(B3),'danh-muc-linh-kien'!$A$2:$D$11,4,FALSE()),"Khong tim thay")</f>
        <v>SSD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n">
        <v>8</v>
      </c>
      <c r="D4" s="4" t="n">
        <v>45698</v>
      </c>
      <c r="E4" s="2" t="str">
        <f aca="false">IFERROR(VLOOKUP(TRIM(B4),'danh-muc-linh-kien'!$A$2:$D$11,2,FALSE()),"Khong tim thay")</f>
        <v>SSD Samsung 500GB NVMe</v>
      </c>
      <c r="F4" s="3" t="n">
        <f aca="false">IFERROR(VLOOKUP(TRIM(B4),'danh-muc-linh-kien'!$A$2:$D$11,3,FALSE()),0)</f>
        <v>2200000</v>
      </c>
      <c r="G4" s="2" t="str">
        <f aca="false">IFERROR(VLOOKUP(TRIM(B4),'danh-muc-linh-kien'!$A$2:$D$11,4,FALSE()),"Khong tim thay")</f>
        <v>SSD</v>
      </c>
    </row>
    <row r="5" customFormat="false" ht="15" hidden="false" customHeight="false" outlineLevel="0" collapsed="false">
      <c r="A5" s="2" t="s">
        <v>36</v>
      </c>
      <c r="B5" s="2" t="s">
        <v>37</v>
      </c>
      <c r="C5" s="2" t="n">
        <v>32</v>
      </c>
      <c r="D5" s="4" t="n">
        <v>45708</v>
      </c>
      <c r="E5" s="2" t="str">
        <f aca="false">IFERROR(VLOOKUP(TRIM(B5),'danh-muc-linh-kien'!$A$2:$D$11,2,FALSE()),"Khong tim thay")</f>
        <v>HDD Seagate 2TB Barracuda</v>
      </c>
      <c r="F5" s="3" t="n">
        <f aca="false">IFERROR(VLOOKUP(TRIM(B5),'danh-muc-linh-kien'!$A$2:$D$11,3,FALSE()),0)</f>
        <v>1500000</v>
      </c>
      <c r="G5" s="2" t="str">
        <f aca="false">IFERROR(VLOOKUP(TRIM(B5),'danh-muc-linh-kien'!$A$2:$D$11,4,FALSE()),"Khong tim thay")</f>
        <v>HDD</v>
      </c>
    </row>
    <row r="6" customFormat="false" ht="15" hidden="false" customHeight="false" outlineLevel="0" collapsed="false">
      <c r="A6" s="2" t="s">
        <v>38</v>
      </c>
      <c r="B6" s="2" t="s">
        <v>14</v>
      </c>
      <c r="C6" s="2" t="n">
        <v>8</v>
      </c>
      <c r="D6" s="4" t="n">
        <v>45721</v>
      </c>
      <c r="E6" s="2" t="str">
        <f aca="false">IFERROR(VLOOKUP(TRIM(B6),'danh-muc-linh-kien'!$A$2:$D$11,2,FALSE()),"Khong tim thay")</f>
        <v>SSD Kingston 240GB SATA</v>
      </c>
      <c r="F6" s="3" t="n">
        <f aca="false">IFERROR(VLOOKUP(TRIM(B6),'danh-muc-linh-kien'!$A$2:$D$11,3,FALSE()),0)</f>
        <v>900000</v>
      </c>
      <c r="G6" s="2" t="str">
        <f aca="false">IFERROR(VLOOKUP(TRIM(B6),'danh-muc-linh-kien'!$A$2:$D$11,4,FALSE()),"Khong tim thay")</f>
        <v>SSD</v>
      </c>
    </row>
    <row r="7" customFormat="false" ht="15" hidden="false" customHeight="false" outlineLevel="0" collapsed="false">
      <c r="A7" s="2" t="s">
        <v>39</v>
      </c>
      <c r="B7" s="2" t="s">
        <v>16</v>
      </c>
      <c r="C7" s="2" t="n">
        <v>8</v>
      </c>
      <c r="D7" s="4" t="n">
        <v>45734</v>
      </c>
      <c r="E7" s="2" t="str">
        <f aca="false">IFERROR(VLOOKUP(TRIM(B7),'danh-muc-linh-kien'!$A$2:$D$11,2,FALSE()),"Khong tim thay")</f>
        <v>RAM DDR4 8GB Bus 2666</v>
      </c>
      <c r="F7" s="3" t="n">
        <f aca="false">IFERROR(VLOOKUP(TRIM(B7),'danh-muc-linh-kien'!$A$2:$D$11,3,FALSE()),0)</f>
        <v>950000</v>
      </c>
      <c r="G7" s="2" t="str">
        <f aca="false">IFERROR(VLOOKUP(TRIM(B7),'danh-muc-linh-kien'!$A$2:$D$11,4,FALSE()),"Khong tim thay")</f>
        <v>SSD</v>
      </c>
    </row>
    <row r="8" customFormat="false" ht="15" hidden="false" customHeight="false" outlineLevel="0" collapsed="false">
      <c r="A8" s="2" t="s">
        <v>40</v>
      </c>
      <c r="B8" s="2" t="s">
        <v>18</v>
      </c>
      <c r="C8" s="2" t="n">
        <v>4</v>
      </c>
      <c r="D8" s="4" t="n">
        <v>45749</v>
      </c>
      <c r="E8" s="2" t="str">
        <f aca="false">IFERROR(VLOOKUP(TRIM(B8),'danh-muc-linh-kien'!$A$2:$D$11,2,FALSE()),"Khong tim thay")</f>
        <v>CPU Raspberry Pi Pico W</v>
      </c>
      <c r="F8" s="3" t="n">
        <f aca="false">IFERROR(VLOOKUP(TRIM(B8),'danh-muc-linh-kien'!$A$2:$D$11,3,FALSE()),0)</f>
        <v>150000</v>
      </c>
      <c r="G8" s="2" t="str">
        <f aca="false">IFERROR(VLOOKUP(TRIM(B8),'danh-muc-linh-kien'!$A$2:$D$11,4,FALSE()),"Khong tim thay")</f>
        <v>SSD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n">
        <v>16</v>
      </c>
      <c r="D9" s="4" t="n">
        <v>45769</v>
      </c>
      <c r="E9" s="2" t="str">
        <f aca="false">IFERROR(VLOOKUP(TRIM(B9),'danh-muc-linh-kien'!$A$2:$D$11,2,FALSE()),"Khong tim thay")</f>
        <v>SSD Western Digital 1TB</v>
      </c>
      <c r="F9" s="3" t="n">
        <f aca="false">IFERROR(VLOOKUP(TRIM(B9),'danh-muc-linh-kien'!$A$2:$D$11,3,FALSE()),0)</f>
        <v>3100000</v>
      </c>
      <c r="G9" s="2" t="str">
        <f aca="false">IFERROR(VLOOKUP(TRIM(B9),'danh-muc-linh-kien'!$A$2:$D$11,4,FALSE()),"Khong tim thay")</f>
        <v>SSD</v>
      </c>
    </row>
    <row r="10" customFormat="false" ht="15" hidden="false" customHeight="false" outlineLevel="0" collapsed="false">
      <c r="A10" s="2" t="s">
        <v>43</v>
      </c>
      <c r="B10" s="2" t="s">
        <v>22</v>
      </c>
      <c r="C10" s="2" t="n">
        <v>64</v>
      </c>
      <c r="D10" s="4" t="n">
        <v>45778</v>
      </c>
      <c r="E10" s="2" t="str">
        <f aca="false">IFERROR(VLOOKUP(TRIM(B10),'danh-muc-linh-kien'!$A$2:$D$11,2,FALSE()),"Khong tim thay")</f>
        <v>HDD Toshiba 4TB Enterprise</v>
      </c>
      <c r="F10" s="3" t="n">
        <f aca="false">IFERROR(VLOOKUP(TRIM(B10),'danh-muc-linh-kien'!$A$2:$D$11,3,FALSE()),0)</f>
        <v>5200000</v>
      </c>
      <c r="G10" s="2" t="str">
        <f aca="false">IFERROR(VLOOKUP(TRIM(B10),'danh-muc-linh-kien'!$A$2:$D$11,4,FALSE()),"Khong tim thay")</f>
        <v>HDD</v>
      </c>
    </row>
    <row r="11" customFormat="false" ht="15" hidden="false" customHeight="false" outlineLevel="0" collapsed="false">
      <c r="A11" s="2" t="s">
        <v>44</v>
      </c>
      <c r="B11" s="2" t="s">
        <v>24</v>
      </c>
      <c r="C11" s="2" t="n">
        <v>32</v>
      </c>
      <c r="D11" s="4" t="n">
        <v>45791</v>
      </c>
      <c r="E11" s="2" t="str">
        <f aca="false">IFERROR(VLOOKUP(TRIM(B11),'danh-muc-linh-kien'!$A$2:$D$11,2,FALSE()),"Khong tim thay")</f>
        <v>RAM DDR5 32GB Bus 4800</v>
      </c>
      <c r="F11" s="3" t="n">
        <f aca="false">IFERROR(VLOOKUP(TRIM(B11),'danh-muc-linh-kien'!$A$2:$D$11,3,FALSE()),0)</f>
        <v>3500000</v>
      </c>
      <c r="G11" s="2" t="str">
        <f aca="false">IFERROR(VLOOKUP(TRIM(B11),'danh-muc-linh-kien'!$A$2:$D$11,4,FALSE()),"Khong tim thay")</f>
        <v>SSD</v>
      </c>
    </row>
    <row r="12" customFormat="false" ht="15" hidden="false" customHeight="false" outlineLevel="0" collapsed="false">
      <c r="A12" s="2" t="s">
        <v>45</v>
      </c>
      <c r="B12" s="2" t="s">
        <v>4</v>
      </c>
      <c r="C12" s="2" t="n">
        <v>16</v>
      </c>
      <c r="D12" s="4" t="n">
        <v>45811</v>
      </c>
      <c r="E12" s="2" t="str">
        <f aca="false">IFERROR(VLOOKUP(TRIM(B12),'danh-muc-linh-kien'!$A$2:$D$11,2,FALSE()),"Khong tim thay")</f>
        <v>CPU Intel Core i5-12400</v>
      </c>
      <c r="F12" s="3" t="n">
        <f aca="false">IFERROR(VLOOKUP(TRIM(B12),'danh-muc-linh-kien'!$A$2:$D$11,3,FALSE()),0)</f>
        <v>4500000</v>
      </c>
      <c r="G12" s="2" t="str">
        <f aca="false">IFERROR(VLOOKUP(TRIM(B12),'danh-muc-linh-kien'!$A$2:$D$11,4,FALSE()),"Khong tim thay")</f>
        <v>SSD</v>
      </c>
    </row>
    <row r="13" customFormat="false" ht="15" hidden="false" customHeight="false" outlineLevel="0" collapsed="false">
      <c r="A13" s="2" t="s">
        <v>46</v>
      </c>
      <c r="B13" s="2" t="s">
        <v>9</v>
      </c>
      <c r="C13" s="2" t="n">
        <v>8</v>
      </c>
      <c r="D13" s="4" t="n">
        <v>45833</v>
      </c>
      <c r="E13" s="2" t="str">
        <f aca="false">IFERROR(VLOOKUP(TRIM(B13),'danh-muc-linh-kien'!$A$2:$D$11,2,FALSE()),"Khong tim thay")</f>
        <v>SSD Samsung 500GB NVMe</v>
      </c>
      <c r="F13" s="3" t="n">
        <f aca="false">IFERROR(VLOOKUP(TRIM(B13),'danh-muc-linh-kien'!$A$2:$D$11,3,FALSE()),0)</f>
        <v>2200000</v>
      </c>
      <c r="G13" s="2" t="str">
        <f aca="false">IFERROR(VLOOKUP(TRIM(B13),'danh-muc-linh-kien'!$A$2:$D$11,4,FALSE()),"Khong tim thay")</f>
        <v>SSD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2026-10-28T13:40:06Z</dcterms:created>
  <dc:creator>openpyxl</dc:creator>
  <dc:description/>
  <dc:language>en-US</dc:language>
  <cp:lastModifiedBy/>
  <dcterms:modified xsi:type="dcterms:W3CDTF">2026-10-28T13:40:06Z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